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isertasi\Publikasi\Artikel Riset\ACS\ACSmanusSubmit\Data Komputasi\JCIM\4_Pharmacophore_validation\Src\"/>
    </mc:Choice>
  </mc:AlternateContent>
  <xr:revisionPtr revIDLastSave="0" documentId="13_ncr:1_{4754B320-18A4-42C8-A182-CF665DB97E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del-Opt" sheetId="6" r:id="rId1"/>
    <sheet name="External Validation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6" l="1"/>
  <c r="C22" i="6"/>
  <c r="C21" i="6"/>
  <c r="C20" i="6"/>
  <c r="C18" i="6"/>
  <c r="C12" i="6"/>
  <c r="C11" i="6"/>
  <c r="C10" i="6"/>
  <c r="C7" i="6"/>
  <c r="C18" i="7"/>
  <c r="C9" i="6" l="1"/>
  <c r="C8" i="6"/>
  <c r="C13" i="6" s="1"/>
  <c r="C22" i="7"/>
  <c r="C21" i="7"/>
  <c r="C19" i="7"/>
  <c r="C20" i="7" s="1"/>
  <c r="C7" i="7"/>
  <c r="C12" i="7"/>
  <c r="C11" i="7"/>
  <c r="C10" i="7"/>
  <c r="D22" i="6"/>
  <c r="D21" i="6"/>
  <c r="D19" i="6"/>
  <c r="D20" i="6" s="1"/>
  <c r="D18" i="6"/>
  <c r="D7" i="6" s="1"/>
  <c r="D12" i="6"/>
  <c r="D11" i="6"/>
  <c r="D10" i="6"/>
  <c r="C9" i="7" l="1"/>
  <c r="C8" i="7"/>
  <c r="C13" i="7"/>
  <c r="D9" i="6"/>
  <c r="D8" i="6"/>
  <c r="D13" i="6"/>
</calcChain>
</file>

<file path=xl/sharedStrings.xml><?xml version="1.0" encoding="utf-8"?>
<sst xmlns="http://schemas.openxmlformats.org/spreadsheetml/2006/main" count="49" uniqueCount="25">
  <si>
    <t>No</t>
  </si>
  <si>
    <t>Parameter</t>
  </si>
  <si>
    <t>Model 6</t>
  </si>
  <si>
    <t>Total molecules in the database (D)</t>
  </si>
  <si>
    <t xml:space="preserve">Total number of active sets in the database (A) </t>
  </si>
  <si>
    <t>Total hits (Ht/n)</t>
  </si>
  <si>
    <t>Active hits (Ha/TP)</t>
  </si>
  <si>
    <t>Sensitivity (Se)</t>
  </si>
  <si>
    <t>Specificity (sp)</t>
  </si>
  <si>
    <t>Accuracy (Acc)</t>
  </si>
  <si>
    <t>Yield of Active (YoA)</t>
  </si>
  <si>
    <t>%Yield of Active (YoA) [(Ha/Ht) × 100]</t>
  </si>
  <si>
    <t>%Ratio of actives [(Ha/A) × 100]</t>
  </si>
  <si>
    <t>GH Score</t>
  </si>
  <si>
    <t>EF 1%</t>
  </si>
  <si>
    <t>EF 5%</t>
  </si>
  <si>
    <t>EF 10%</t>
  </si>
  <si>
    <t>AUC</t>
  </si>
  <si>
    <t>False negative (FN) [A - Ha]</t>
  </si>
  <si>
    <t>False positive (FP) [Ht - Ha]</t>
  </si>
  <si>
    <t>True Negatif (TN) [(D-A)-FP]</t>
  </si>
  <si>
    <t>(3/4)</t>
  </si>
  <si>
    <t>(1/4)</t>
  </si>
  <si>
    <t>Asessment Pharmacophore Model</t>
  </si>
  <si>
    <t>Model 6-Opt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</si>
</sst>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64" fontId="2" fillId="2" borderId="1" xfId="0" applyNumberFormat="1" applyFont="1" applyFill="1" applyBorder="1" applyAlignment="1">
      <alignment horizontal="center"/>
    </xf>
    <xf numFmtId="16" fontId="2" fillId="3" borderId="1" xfId="0" applyNumberFormat="1" applyFont="1" applyFill="1" applyBorder="1" applyAlignment="1">
      <alignment horizontal="left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2" fontId="1" fillId="3" borderId="1" xfId="0" applyNumberFormat="1" applyFon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54429</xdr:colOff>
      <xdr:row>2</xdr:row>
      <xdr:rowOff>92529</xdr:rowOff>
    </xdr:from>
    <xdr:to>
      <xdr:col>11</xdr:col>
      <xdr:colOff>538124</xdr:colOff>
      <xdr:row>15</xdr:row>
      <xdr:rowOff>108858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A3C196-F2E1-E88D-9C66-9C0958FDE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36179" y="473529"/>
          <a:ext cx="4157624" cy="24928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B4AFB-3669-4A5A-939E-5F0E57C62EEF}">
  <dimension ref="A1:D22"/>
  <sheetViews>
    <sheetView tabSelected="1" zoomScale="80" zoomScaleNormal="80" workbookViewId="0">
      <selection activeCell="F19" sqref="F19"/>
    </sheetView>
  </sheetViews>
  <sheetFormatPr defaultRowHeight="15" x14ac:dyDescent="0.25"/>
  <cols>
    <col min="1" max="1" width="3.85546875" bestFit="1" customWidth="1"/>
    <col min="2" max="2" width="45.85546875" bestFit="1" customWidth="1"/>
    <col min="3" max="3" width="19.7109375" customWidth="1"/>
    <col min="4" max="4" width="16.85546875" style="12" customWidth="1"/>
  </cols>
  <sheetData>
    <row r="1" spans="1:4" x14ac:dyDescent="0.25">
      <c r="A1" s="14" t="s">
        <v>0</v>
      </c>
      <c r="B1" s="15" t="s">
        <v>1</v>
      </c>
      <c r="C1" s="16" t="s">
        <v>23</v>
      </c>
      <c r="D1" s="17"/>
    </row>
    <row r="2" spans="1:4" x14ac:dyDescent="0.25">
      <c r="A2" s="14"/>
      <c r="B2" s="15"/>
      <c r="C2" s="1" t="s">
        <v>2</v>
      </c>
      <c r="D2" s="1" t="s">
        <v>24</v>
      </c>
    </row>
    <row r="3" spans="1:4" x14ac:dyDescent="0.25">
      <c r="A3" s="8">
        <v>1</v>
      </c>
      <c r="B3" s="9" t="s">
        <v>3</v>
      </c>
      <c r="C3" s="8">
        <v>1122</v>
      </c>
      <c r="D3" s="4">
        <v>1122</v>
      </c>
    </row>
    <row r="4" spans="1:4" x14ac:dyDescent="0.25">
      <c r="A4" s="8">
        <v>2</v>
      </c>
      <c r="B4" s="9" t="s">
        <v>4</v>
      </c>
      <c r="C4" s="8">
        <v>22</v>
      </c>
      <c r="D4" s="4">
        <v>22</v>
      </c>
    </row>
    <row r="5" spans="1:4" x14ac:dyDescent="0.25">
      <c r="A5" s="8">
        <v>3</v>
      </c>
      <c r="B5" s="2" t="s">
        <v>5</v>
      </c>
      <c r="C5" s="8">
        <v>41</v>
      </c>
      <c r="D5" s="4">
        <v>23</v>
      </c>
    </row>
    <row r="6" spans="1:4" x14ac:dyDescent="0.25">
      <c r="A6" s="8">
        <v>4</v>
      </c>
      <c r="B6" s="9" t="s">
        <v>6</v>
      </c>
      <c r="C6" s="8">
        <v>21</v>
      </c>
      <c r="D6" s="4">
        <v>20</v>
      </c>
    </row>
    <row r="7" spans="1:4" x14ac:dyDescent="0.25">
      <c r="A7" s="8">
        <v>5</v>
      </c>
      <c r="B7" s="9" t="s">
        <v>7</v>
      </c>
      <c r="C7" s="18">
        <f t="shared" ref="C7" si="0">C6/(C6+C18)</f>
        <v>0.95454545454545459</v>
      </c>
      <c r="D7" s="5">
        <f t="shared" ref="D7" si="1">D6/(D6+D18)</f>
        <v>0.90909090909090906</v>
      </c>
    </row>
    <row r="8" spans="1:4" x14ac:dyDescent="0.25">
      <c r="A8" s="8">
        <v>6</v>
      </c>
      <c r="B8" s="9" t="s">
        <v>8</v>
      </c>
      <c r="C8" s="18">
        <f t="shared" ref="C8" si="2">C20/(C20+C19)</f>
        <v>0.98181818181818181</v>
      </c>
      <c r="D8" s="5">
        <f>D20/(D20+D19)</f>
        <v>0.99727272727272731</v>
      </c>
    </row>
    <row r="9" spans="1:4" x14ac:dyDescent="0.25">
      <c r="A9" s="8">
        <v>7</v>
      </c>
      <c r="B9" s="9" t="s">
        <v>9</v>
      </c>
      <c r="C9" s="18">
        <f t="shared" ref="C9" si="3">(C6+C20)/(C6+C20+C19+C18)</f>
        <v>0.98128342245989308</v>
      </c>
      <c r="D9" s="5">
        <f t="shared" ref="D9" si="4">(D6+D20)/(D6+D20+D19+D18)</f>
        <v>0.99554367201426019</v>
      </c>
    </row>
    <row r="10" spans="1:4" x14ac:dyDescent="0.25">
      <c r="A10" s="8">
        <v>8</v>
      </c>
      <c r="B10" s="9" t="s">
        <v>10</v>
      </c>
      <c r="C10" s="18">
        <f t="shared" ref="C10" si="5">C6/C5</f>
        <v>0.51219512195121952</v>
      </c>
      <c r="D10" s="5">
        <f>D6/D5</f>
        <v>0.86956521739130432</v>
      </c>
    </row>
    <row r="11" spans="1:4" x14ac:dyDescent="0.25">
      <c r="A11" s="8">
        <v>9</v>
      </c>
      <c r="B11" s="9" t="s">
        <v>11</v>
      </c>
      <c r="C11" s="18">
        <f t="shared" ref="C11" si="6">(C6/C5)*100</f>
        <v>51.219512195121951</v>
      </c>
      <c r="D11" s="5">
        <f>(D6/D5)*100</f>
        <v>86.956521739130437</v>
      </c>
    </row>
    <row r="12" spans="1:4" x14ac:dyDescent="0.25">
      <c r="A12" s="8">
        <v>10</v>
      </c>
      <c r="B12" s="9" t="s">
        <v>12</v>
      </c>
      <c r="C12" s="18">
        <f t="shared" ref="C12" si="7">(C6/C4)*100</f>
        <v>95.454545454545453</v>
      </c>
      <c r="D12" s="10">
        <f>(D6/D4)*100</f>
        <v>90.909090909090907</v>
      </c>
    </row>
    <row r="13" spans="1:4" x14ac:dyDescent="0.25">
      <c r="A13" s="8">
        <v>11</v>
      </c>
      <c r="B13" s="2" t="s">
        <v>13</v>
      </c>
      <c r="C13" s="19">
        <f>((C21*C10)+(C22*C7))*C8</f>
        <v>0.61145938318887327</v>
      </c>
      <c r="D13" s="6">
        <f t="shared" ref="D13" si="8">((D21*D10)+(D22*D7))*D8</f>
        <v>0.87704814947897958</v>
      </c>
    </row>
    <row r="14" spans="1:4" x14ac:dyDescent="0.25">
      <c r="A14" s="8">
        <v>12</v>
      </c>
      <c r="B14" s="9" t="s">
        <v>14</v>
      </c>
      <c r="C14" s="18">
        <v>32.450000000000003</v>
      </c>
      <c r="D14" s="4">
        <v>37.090000000000003</v>
      </c>
    </row>
    <row r="15" spans="1:4" x14ac:dyDescent="0.25">
      <c r="A15" s="8">
        <v>13</v>
      </c>
      <c r="B15" s="9" t="s">
        <v>15</v>
      </c>
      <c r="C15" s="18">
        <v>19.13</v>
      </c>
      <c r="D15" s="4">
        <v>18.21</v>
      </c>
    </row>
    <row r="16" spans="1:4" x14ac:dyDescent="0.25">
      <c r="A16" s="8">
        <v>14</v>
      </c>
      <c r="B16" s="9" t="s">
        <v>16</v>
      </c>
      <c r="C16" s="18">
        <v>9.56</v>
      </c>
      <c r="D16" s="4">
        <v>9.11</v>
      </c>
    </row>
    <row r="17" spans="1:4" x14ac:dyDescent="0.25">
      <c r="A17" s="8">
        <v>15</v>
      </c>
      <c r="B17" s="2" t="s">
        <v>17</v>
      </c>
      <c r="C17" s="20">
        <v>0.96899999999999997</v>
      </c>
      <c r="D17" s="3">
        <v>0.95299999999999996</v>
      </c>
    </row>
    <row r="18" spans="1:4" x14ac:dyDescent="0.25">
      <c r="A18" s="8">
        <v>16</v>
      </c>
      <c r="B18" s="9" t="s">
        <v>18</v>
      </c>
      <c r="C18" s="21">
        <f t="shared" ref="C18" si="9">C4-C6</f>
        <v>1</v>
      </c>
      <c r="D18" s="4">
        <f t="shared" ref="D18" si="10">D4-D6</f>
        <v>2</v>
      </c>
    </row>
    <row r="19" spans="1:4" x14ac:dyDescent="0.25">
      <c r="A19" s="8">
        <v>17</v>
      </c>
      <c r="B19" s="9" t="s">
        <v>19</v>
      </c>
      <c r="C19" s="21">
        <f>C5-C6</f>
        <v>20</v>
      </c>
      <c r="D19" s="4">
        <f t="shared" ref="D19" si="11">D5-D6</f>
        <v>3</v>
      </c>
    </row>
    <row r="20" spans="1:4" x14ac:dyDescent="0.25">
      <c r="A20" s="8">
        <v>18</v>
      </c>
      <c r="B20" s="9" t="s">
        <v>20</v>
      </c>
      <c r="C20" s="21">
        <f t="shared" ref="C20" si="12">(C3-C4)-C19</f>
        <v>1080</v>
      </c>
      <c r="D20" s="4">
        <f t="shared" ref="D20" si="13">(D3-D4)-D19</f>
        <v>1097</v>
      </c>
    </row>
    <row r="21" spans="1:4" x14ac:dyDescent="0.25">
      <c r="A21" s="8">
        <v>19</v>
      </c>
      <c r="B21" s="11" t="s">
        <v>21</v>
      </c>
      <c r="C21" s="18">
        <f t="shared" ref="C21" si="14">3/4</f>
        <v>0.75</v>
      </c>
      <c r="D21" s="4">
        <f>3/4</f>
        <v>0.75</v>
      </c>
    </row>
    <row r="22" spans="1:4" x14ac:dyDescent="0.25">
      <c r="A22" s="8">
        <v>20</v>
      </c>
      <c r="B22" s="9" t="s">
        <v>22</v>
      </c>
      <c r="C22" s="18">
        <f t="shared" ref="C22" si="15">1/4</f>
        <v>0.25</v>
      </c>
      <c r="D22" s="4">
        <f>1/4</f>
        <v>0.25</v>
      </c>
    </row>
  </sheetData>
  <mergeCells count="3">
    <mergeCell ref="A1:A2"/>
    <mergeCell ref="B1:B2"/>
    <mergeCell ref="C1:D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94B3FD-6D00-4F24-906C-6C1ED96355B8}">
  <dimension ref="A1:C22"/>
  <sheetViews>
    <sheetView workbookViewId="0">
      <selection activeCell="C17" sqref="C17"/>
    </sheetView>
  </sheetViews>
  <sheetFormatPr defaultRowHeight="15" x14ac:dyDescent="0.25"/>
  <cols>
    <col min="1" max="1" width="3.85546875" bestFit="1" customWidth="1"/>
    <col min="2" max="2" width="45.85546875" bestFit="1" customWidth="1"/>
    <col min="3" max="3" width="36.28515625" bestFit="1" customWidth="1"/>
  </cols>
  <sheetData>
    <row r="1" spans="1:3" x14ac:dyDescent="0.25">
      <c r="A1" s="15" t="s">
        <v>0</v>
      </c>
      <c r="B1" s="15" t="s">
        <v>1</v>
      </c>
      <c r="C1" s="1" t="s">
        <v>23</v>
      </c>
    </row>
    <row r="2" spans="1:3" x14ac:dyDescent="0.25">
      <c r="A2" s="15"/>
      <c r="B2" s="15"/>
      <c r="C2" s="1" t="s">
        <v>24</v>
      </c>
    </row>
    <row r="3" spans="1:3" x14ac:dyDescent="0.25">
      <c r="A3" s="8">
        <v>1</v>
      </c>
      <c r="B3" s="9" t="s">
        <v>3</v>
      </c>
      <c r="C3" s="4">
        <v>1530</v>
      </c>
    </row>
    <row r="4" spans="1:3" x14ac:dyDescent="0.25">
      <c r="A4" s="8">
        <v>2</v>
      </c>
      <c r="B4" s="9" t="s">
        <v>4</v>
      </c>
      <c r="C4" s="4">
        <v>30</v>
      </c>
    </row>
    <row r="5" spans="1:3" x14ac:dyDescent="0.25">
      <c r="A5" s="8">
        <v>3</v>
      </c>
      <c r="B5" s="2" t="s">
        <v>5</v>
      </c>
      <c r="C5" s="4">
        <v>40</v>
      </c>
    </row>
    <row r="6" spans="1:3" x14ac:dyDescent="0.25">
      <c r="A6" s="8">
        <v>4</v>
      </c>
      <c r="B6" s="9" t="s">
        <v>6</v>
      </c>
      <c r="C6" s="4">
        <v>30</v>
      </c>
    </row>
    <row r="7" spans="1:3" x14ac:dyDescent="0.25">
      <c r="A7" s="8">
        <v>5</v>
      </c>
      <c r="B7" s="9" t="s">
        <v>7</v>
      </c>
      <c r="C7" s="5">
        <f t="shared" ref="C7" si="0">C6/(C6+C18)</f>
        <v>1</v>
      </c>
    </row>
    <row r="8" spans="1:3" x14ac:dyDescent="0.25">
      <c r="A8" s="8">
        <v>6</v>
      </c>
      <c r="B8" s="9" t="s">
        <v>8</v>
      </c>
      <c r="C8" s="5">
        <f>C20/(C20+C19)</f>
        <v>0.99333333333333329</v>
      </c>
    </row>
    <row r="9" spans="1:3" x14ac:dyDescent="0.25">
      <c r="A9" s="8">
        <v>7</v>
      </c>
      <c r="B9" s="9" t="s">
        <v>9</v>
      </c>
      <c r="C9" s="5">
        <f t="shared" ref="C9" si="1">(C6+C20)/(C6+C20+C19+C18)</f>
        <v>0.99346405228758172</v>
      </c>
    </row>
    <row r="10" spans="1:3" x14ac:dyDescent="0.25">
      <c r="A10" s="8">
        <v>8</v>
      </c>
      <c r="B10" s="9" t="s">
        <v>10</v>
      </c>
      <c r="C10" s="5">
        <f>C6/C5</f>
        <v>0.75</v>
      </c>
    </row>
    <row r="11" spans="1:3" x14ac:dyDescent="0.25">
      <c r="A11" s="8">
        <v>9</v>
      </c>
      <c r="B11" s="9" t="s">
        <v>11</v>
      </c>
      <c r="C11" s="5">
        <f>(C6/C5)*100</f>
        <v>75</v>
      </c>
    </row>
    <row r="12" spans="1:3" x14ac:dyDescent="0.25">
      <c r="A12" s="8">
        <v>10</v>
      </c>
      <c r="B12" s="9" t="s">
        <v>12</v>
      </c>
      <c r="C12" s="10">
        <f>(C6/C4)*100</f>
        <v>100</v>
      </c>
    </row>
    <row r="13" spans="1:3" x14ac:dyDescent="0.25">
      <c r="A13" s="8">
        <v>11</v>
      </c>
      <c r="B13" s="2" t="s">
        <v>13</v>
      </c>
      <c r="C13" s="6">
        <f t="shared" ref="C13" si="2">((C21*C10)+(C22*C7))*C8</f>
        <v>0.80708333333333326</v>
      </c>
    </row>
    <row r="14" spans="1:3" x14ac:dyDescent="0.25">
      <c r="A14" s="8">
        <v>12</v>
      </c>
      <c r="B14" s="9" t="s">
        <v>14</v>
      </c>
      <c r="C14" s="13">
        <v>37.4</v>
      </c>
    </row>
    <row r="15" spans="1:3" x14ac:dyDescent="0.25">
      <c r="A15" s="8">
        <v>13</v>
      </c>
      <c r="B15" s="9" t="s">
        <v>15</v>
      </c>
      <c r="C15" s="13">
        <v>19.87</v>
      </c>
    </row>
    <row r="16" spans="1:3" x14ac:dyDescent="0.25">
      <c r="A16" s="8">
        <v>14</v>
      </c>
      <c r="B16" s="9" t="s">
        <v>16</v>
      </c>
      <c r="C16" s="13">
        <v>9.94</v>
      </c>
    </row>
    <row r="17" spans="1:3" x14ac:dyDescent="0.25">
      <c r="A17" s="8">
        <v>15</v>
      </c>
      <c r="B17" s="2" t="s">
        <v>17</v>
      </c>
      <c r="C17" s="7">
        <v>0.996</v>
      </c>
    </row>
    <row r="18" spans="1:3" x14ac:dyDescent="0.25">
      <c r="A18" s="8">
        <v>16</v>
      </c>
      <c r="B18" s="9" t="s">
        <v>18</v>
      </c>
      <c r="C18" s="4">
        <f>C4-C6</f>
        <v>0</v>
      </c>
    </row>
    <row r="19" spans="1:3" x14ac:dyDescent="0.25">
      <c r="A19" s="8">
        <v>17</v>
      </c>
      <c r="B19" s="9" t="s">
        <v>19</v>
      </c>
      <c r="C19" s="4">
        <f t="shared" ref="C19" si="3">C5-C6</f>
        <v>10</v>
      </c>
    </row>
    <row r="20" spans="1:3" x14ac:dyDescent="0.25">
      <c r="A20" s="8">
        <v>18</v>
      </c>
      <c r="B20" s="9" t="s">
        <v>20</v>
      </c>
      <c r="C20" s="4">
        <f t="shared" ref="C20" si="4">(C3-C4)-C19</f>
        <v>1490</v>
      </c>
    </row>
    <row r="21" spans="1:3" x14ac:dyDescent="0.25">
      <c r="A21" s="8">
        <v>19</v>
      </c>
      <c r="B21" s="11" t="s">
        <v>21</v>
      </c>
      <c r="C21" s="4">
        <f>3/4</f>
        <v>0.75</v>
      </c>
    </row>
    <row r="22" spans="1:3" x14ac:dyDescent="0.25">
      <c r="A22" s="8">
        <v>20</v>
      </c>
      <c r="B22" s="9" t="s">
        <v>22</v>
      </c>
      <c r="C22" s="4">
        <f>1/4</f>
        <v>0.25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Model-Opt</vt:lpstr>
      <vt:lpstr>External Validation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Junaidin</cp:lastModifiedBy>
  <dcterms:created xsi:type="dcterms:W3CDTF">2023-08-03T04:35:22Z</dcterms:created>
  <dcterms:modified xsi:type="dcterms:W3CDTF">2026-01-10T13:44:46Z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2026-01-04T11:02:05Z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8cc00f6e-1525-4cdb-818a-f75e87d82783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