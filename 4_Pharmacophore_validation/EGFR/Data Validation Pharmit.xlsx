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isertasi\Publikasi\Artikel Riset\ACS\ACSmanusSubmit\Data Komputasi\JCIM\4_Pharmacophore_validation\EGFR\"/>
    </mc:Choice>
  </mc:AlternateContent>
  <xr:revisionPtr revIDLastSave="0" documentId="13_ncr:1_{56A8263E-A755-4152-870C-F11A012CBA9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odel-Opt" sheetId="6" r:id="rId1"/>
    <sheet name="External Validation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7" l="1"/>
  <c r="C22" i="7" l="1"/>
  <c r="C21" i="7"/>
  <c r="C19" i="7"/>
  <c r="C20" i="7" s="1"/>
  <c r="C7" i="7"/>
  <c r="C12" i="7"/>
  <c r="C11" i="7"/>
  <c r="C10" i="7"/>
  <c r="D22" i="6"/>
  <c r="D21" i="6"/>
  <c r="D19" i="6"/>
  <c r="D20" i="6" s="1"/>
  <c r="D18" i="6"/>
  <c r="D7" i="6" s="1"/>
  <c r="D12" i="6"/>
  <c r="D11" i="6"/>
  <c r="D10" i="6"/>
  <c r="C9" i="7" l="1"/>
  <c r="C8" i="7"/>
  <c r="C13" i="7"/>
  <c r="D9" i="6"/>
  <c r="D8" i="6"/>
  <c r="D13" i="6"/>
  <c r="C22" i="6" l="1"/>
  <c r="C21" i="6"/>
  <c r="C19" i="6"/>
  <c r="C20" i="6" s="1"/>
  <c r="C18" i="6"/>
  <c r="C7" i="6" s="1"/>
  <c r="C12" i="6"/>
  <c r="C11" i="6"/>
  <c r="C10" i="6"/>
  <c r="C9" i="6" l="1"/>
  <c r="C8" i="6"/>
  <c r="C13" i="6" s="1"/>
</calcChain>
</file>

<file path=xl/sharedStrings.xml><?xml version="1.0" encoding="utf-8"?>
<sst xmlns="http://schemas.openxmlformats.org/spreadsheetml/2006/main" count="49" uniqueCount="25">
  <si>
    <t>No</t>
  </si>
  <si>
    <t>Parameter</t>
  </si>
  <si>
    <t>Model 1</t>
  </si>
  <si>
    <t>Total molecules in the database (D)</t>
  </si>
  <si>
    <t xml:space="preserve">Total number of active sets in the database (A) </t>
  </si>
  <si>
    <t>Total hits (Ht/n)</t>
  </si>
  <si>
    <t>Active hits (Ha/TP)</t>
  </si>
  <si>
    <t>Sensitivity (Se)</t>
  </si>
  <si>
    <t>Specificity (sp)</t>
  </si>
  <si>
    <t>Accuracy (Acc)</t>
  </si>
  <si>
    <t>Yield of Active (YoA)</t>
  </si>
  <si>
    <t>%Yield of Active (YoA) [(Ha/Ht) × 100]</t>
  </si>
  <si>
    <t>%Ratio of actives [(Ha/A) × 100]</t>
  </si>
  <si>
    <t>GH Score</t>
  </si>
  <si>
    <t>EF 1%</t>
  </si>
  <si>
    <t>EF 5%</t>
  </si>
  <si>
    <t>EF 10%</t>
  </si>
  <si>
    <t>AUC</t>
  </si>
  <si>
    <t>False negative (FN) [A - Ha]</t>
  </si>
  <si>
    <t>False positive (FP) [Ht - Ha]</t>
  </si>
  <si>
    <t>True Negatif (TN) [(D-A)-FP]</t>
  </si>
  <si>
    <t>(3/4)</t>
  </si>
  <si>
    <t>(1/4)</t>
  </si>
  <si>
    <t>Model 1-Opt</t>
  </si>
  <si>
    <t>Asessment Pharmacophore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</si>
</sst>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2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2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" fontId="3" fillId="3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3</xdr:row>
      <xdr:rowOff>66083</xdr:rowOff>
    </xdr:from>
    <xdr:to>
      <xdr:col>11</xdr:col>
      <xdr:colOff>381440</xdr:colOff>
      <xdr:row>15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A911A0-0B4D-7AD0-BE04-892003CCC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925" y="637583"/>
          <a:ext cx="4019990" cy="2400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4AFB-3669-4A5A-939E-5F0E57C62EEF}">
  <dimension ref="A1:D22"/>
  <sheetViews>
    <sheetView topLeftCell="A7" zoomScaleNormal="100" workbookViewId="0">
      <selection activeCell="D14" sqref="D14"/>
    </sheetView>
  </sheetViews>
  <sheetFormatPr defaultRowHeight="15" x14ac:dyDescent="0.25"/>
  <cols>
    <col min="1" max="1" width="3.85546875" bestFit="1" customWidth="1"/>
    <col min="2" max="2" width="45.85546875" bestFit="1" customWidth="1"/>
    <col min="3" max="3" width="23.5703125" customWidth="1"/>
    <col min="4" max="4" width="16.85546875" customWidth="1"/>
  </cols>
  <sheetData>
    <row r="1" spans="1:4" x14ac:dyDescent="0.25">
      <c r="A1" s="17" t="s">
        <v>0</v>
      </c>
      <c r="B1" s="18" t="s">
        <v>1</v>
      </c>
      <c r="C1" s="19" t="s">
        <v>24</v>
      </c>
      <c r="D1" s="20"/>
    </row>
    <row r="2" spans="1:4" x14ac:dyDescent="0.25">
      <c r="A2" s="17"/>
      <c r="B2" s="18"/>
      <c r="C2" s="1" t="s">
        <v>2</v>
      </c>
      <c r="D2" s="5" t="s">
        <v>23</v>
      </c>
    </row>
    <row r="3" spans="1:4" x14ac:dyDescent="0.25">
      <c r="A3" s="9">
        <v>1</v>
      </c>
      <c r="B3" s="10" t="s">
        <v>3</v>
      </c>
      <c r="C3" s="9">
        <v>1785</v>
      </c>
      <c r="D3" s="14">
        <v>1785</v>
      </c>
    </row>
    <row r="4" spans="1:4" x14ac:dyDescent="0.25">
      <c r="A4" s="9">
        <v>2</v>
      </c>
      <c r="B4" s="10" t="s">
        <v>4</v>
      </c>
      <c r="C4" s="9">
        <v>35</v>
      </c>
      <c r="D4" s="14">
        <v>35</v>
      </c>
    </row>
    <row r="5" spans="1:4" x14ac:dyDescent="0.25">
      <c r="A5" s="9">
        <v>3</v>
      </c>
      <c r="B5" s="2" t="s">
        <v>5</v>
      </c>
      <c r="C5" s="1">
        <v>54</v>
      </c>
      <c r="D5" s="5">
        <v>32</v>
      </c>
    </row>
    <row r="6" spans="1:4" x14ac:dyDescent="0.25">
      <c r="A6" s="9">
        <v>4</v>
      </c>
      <c r="B6" s="10" t="s">
        <v>6</v>
      </c>
      <c r="C6" s="9">
        <v>35</v>
      </c>
      <c r="D6" s="6">
        <v>31</v>
      </c>
    </row>
    <row r="7" spans="1:4" x14ac:dyDescent="0.25">
      <c r="A7" s="9">
        <v>5</v>
      </c>
      <c r="B7" s="10" t="s">
        <v>7</v>
      </c>
      <c r="C7" s="9">
        <f t="shared" ref="C7:D7" si="0">C6/(C6+C18)</f>
        <v>1</v>
      </c>
      <c r="D7" s="15">
        <f t="shared" si="0"/>
        <v>0.88571428571428568</v>
      </c>
    </row>
    <row r="8" spans="1:4" x14ac:dyDescent="0.25">
      <c r="A8" s="9">
        <v>6</v>
      </c>
      <c r="B8" s="10" t="s">
        <v>8</v>
      </c>
      <c r="C8" s="11">
        <f>C20/(C20+C19)</f>
        <v>0.9891428571428571</v>
      </c>
      <c r="D8" s="15">
        <f>D20/(D20+D19)</f>
        <v>0.99942857142857144</v>
      </c>
    </row>
    <row r="9" spans="1:4" x14ac:dyDescent="0.25">
      <c r="A9" s="9">
        <v>7</v>
      </c>
      <c r="B9" s="10" t="s">
        <v>9</v>
      </c>
      <c r="C9" s="11">
        <f t="shared" ref="C9:D9" si="1">(C6+C20)/(C6+C20+C19+C18)</f>
        <v>0.98935574229691881</v>
      </c>
      <c r="D9" s="15">
        <f t="shared" si="1"/>
        <v>0.99719887955182074</v>
      </c>
    </row>
    <row r="10" spans="1:4" x14ac:dyDescent="0.25">
      <c r="A10" s="9">
        <v>8</v>
      </c>
      <c r="B10" s="10" t="s">
        <v>10</v>
      </c>
      <c r="C10" s="11">
        <f>C6/C5</f>
        <v>0.64814814814814814</v>
      </c>
      <c r="D10" s="15">
        <f>D6/D5</f>
        <v>0.96875</v>
      </c>
    </row>
    <row r="11" spans="1:4" x14ac:dyDescent="0.25">
      <c r="A11" s="9">
        <v>9</v>
      </c>
      <c r="B11" s="10" t="s">
        <v>11</v>
      </c>
      <c r="C11" s="11">
        <f>(C6/C5)*100</f>
        <v>64.81481481481481</v>
      </c>
      <c r="D11" s="15">
        <f>(D6/D5)*100</f>
        <v>96.875</v>
      </c>
    </row>
    <row r="12" spans="1:4" x14ac:dyDescent="0.25">
      <c r="A12" s="9">
        <v>10</v>
      </c>
      <c r="B12" s="10" t="s">
        <v>12</v>
      </c>
      <c r="C12" s="12">
        <f>(C6/C4)*100</f>
        <v>100</v>
      </c>
      <c r="D12" s="16">
        <f>(D6/D4)*100</f>
        <v>88.571428571428569</v>
      </c>
    </row>
    <row r="13" spans="1:4" x14ac:dyDescent="0.25">
      <c r="A13" s="9">
        <v>11</v>
      </c>
      <c r="B13" s="2" t="s">
        <v>13</v>
      </c>
      <c r="C13" s="3">
        <f t="shared" ref="C13:D13" si="2">((C21*C10)+(C22*C7))*C8</f>
        <v>0.72811904761904767</v>
      </c>
      <c r="D13" s="8">
        <f t="shared" si="2"/>
        <v>0.94744936224489795</v>
      </c>
    </row>
    <row r="14" spans="1:4" x14ac:dyDescent="0.25">
      <c r="A14" s="9">
        <v>12</v>
      </c>
      <c r="B14" s="10" t="s">
        <v>14</v>
      </c>
      <c r="C14" s="11">
        <v>51</v>
      </c>
      <c r="D14" s="7">
        <v>51</v>
      </c>
    </row>
    <row r="15" spans="1:4" x14ac:dyDescent="0.25">
      <c r="A15" s="9">
        <v>13</v>
      </c>
      <c r="B15" s="10" t="s">
        <v>15</v>
      </c>
      <c r="C15" s="11">
        <v>19.829999999999998</v>
      </c>
      <c r="D15" s="6">
        <v>17.760000000000002</v>
      </c>
    </row>
    <row r="16" spans="1:4" x14ac:dyDescent="0.25">
      <c r="A16" s="9">
        <v>14</v>
      </c>
      <c r="B16" s="10" t="s">
        <v>16</v>
      </c>
      <c r="C16" s="11">
        <v>9.9700000000000006</v>
      </c>
      <c r="D16" s="6">
        <v>8.83</v>
      </c>
    </row>
    <row r="17" spans="1:4" x14ac:dyDescent="0.25">
      <c r="A17" s="9">
        <v>15</v>
      </c>
      <c r="B17" s="2" t="s">
        <v>17</v>
      </c>
      <c r="C17" s="4">
        <v>0.999</v>
      </c>
      <c r="D17" s="5">
        <v>0.94299999999999995</v>
      </c>
    </row>
    <row r="18" spans="1:4" x14ac:dyDescent="0.25">
      <c r="A18" s="9">
        <v>16</v>
      </c>
      <c r="B18" s="10" t="s">
        <v>18</v>
      </c>
      <c r="C18" s="9">
        <f t="shared" ref="C18:D18" si="3">C4-C6</f>
        <v>0</v>
      </c>
      <c r="D18" s="14">
        <f t="shared" si="3"/>
        <v>4</v>
      </c>
    </row>
    <row r="19" spans="1:4" x14ac:dyDescent="0.25">
      <c r="A19" s="9">
        <v>17</v>
      </c>
      <c r="B19" s="10" t="s">
        <v>19</v>
      </c>
      <c r="C19" s="9">
        <f t="shared" ref="C19:D19" si="4">C5-C6</f>
        <v>19</v>
      </c>
      <c r="D19" s="14">
        <f t="shared" si="4"/>
        <v>1</v>
      </c>
    </row>
    <row r="20" spans="1:4" x14ac:dyDescent="0.25">
      <c r="A20" s="9">
        <v>18</v>
      </c>
      <c r="B20" s="10" t="s">
        <v>20</v>
      </c>
      <c r="C20" s="9">
        <f t="shared" ref="C20:D20" si="5">(C3-C4)-C19</f>
        <v>1731</v>
      </c>
      <c r="D20" s="14">
        <f t="shared" si="5"/>
        <v>1749</v>
      </c>
    </row>
    <row r="21" spans="1:4" x14ac:dyDescent="0.25">
      <c r="A21" s="9">
        <v>19</v>
      </c>
      <c r="B21" s="13" t="s">
        <v>21</v>
      </c>
      <c r="C21" s="9">
        <f>3/4</f>
        <v>0.75</v>
      </c>
      <c r="D21" s="14">
        <f>3/4</f>
        <v>0.75</v>
      </c>
    </row>
    <row r="22" spans="1:4" x14ac:dyDescent="0.25">
      <c r="A22" s="9">
        <v>20</v>
      </c>
      <c r="B22" s="10" t="s">
        <v>22</v>
      </c>
      <c r="C22" s="9">
        <f>1/4</f>
        <v>0.25</v>
      </c>
      <c r="D22" s="14">
        <f>1/4</f>
        <v>0.25</v>
      </c>
    </row>
  </sheetData>
  <mergeCells count="3">
    <mergeCell ref="A1:A2"/>
    <mergeCell ref="B1:B2"/>
    <mergeCell ref="C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B3FD-6D00-4F24-906C-6C1ED96355B8}">
  <dimension ref="A1:C22"/>
  <sheetViews>
    <sheetView tabSelected="1" workbookViewId="0">
      <selection activeCell="C5" sqref="C5"/>
    </sheetView>
  </sheetViews>
  <sheetFormatPr defaultRowHeight="15" x14ac:dyDescent="0.25"/>
  <cols>
    <col min="1" max="1" width="3.85546875" bestFit="1" customWidth="1"/>
    <col min="2" max="2" width="45.85546875" bestFit="1" customWidth="1"/>
    <col min="3" max="3" width="36.28515625" bestFit="1" customWidth="1"/>
  </cols>
  <sheetData>
    <row r="1" spans="1:3" x14ac:dyDescent="0.25">
      <c r="A1" s="18" t="s">
        <v>0</v>
      </c>
      <c r="B1" s="18" t="s">
        <v>1</v>
      </c>
      <c r="C1" s="1" t="s">
        <v>24</v>
      </c>
    </row>
    <row r="2" spans="1:3" x14ac:dyDescent="0.25">
      <c r="A2" s="18"/>
      <c r="B2" s="18"/>
      <c r="C2" s="5" t="s">
        <v>23</v>
      </c>
    </row>
    <row r="3" spans="1:3" x14ac:dyDescent="0.25">
      <c r="A3" s="9">
        <v>1</v>
      </c>
      <c r="B3" s="10" t="s">
        <v>3</v>
      </c>
      <c r="C3" s="14">
        <v>2346</v>
      </c>
    </row>
    <row r="4" spans="1:3" x14ac:dyDescent="0.25">
      <c r="A4" s="9">
        <v>2</v>
      </c>
      <c r="B4" s="10" t="s">
        <v>4</v>
      </c>
      <c r="C4" s="14">
        <v>46</v>
      </c>
    </row>
    <row r="5" spans="1:3" x14ac:dyDescent="0.25">
      <c r="A5" s="9">
        <v>3</v>
      </c>
      <c r="B5" s="2" t="s">
        <v>5</v>
      </c>
      <c r="C5" s="6">
        <v>49</v>
      </c>
    </row>
    <row r="6" spans="1:3" x14ac:dyDescent="0.25">
      <c r="A6" s="9">
        <v>4</v>
      </c>
      <c r="B6" s="10" t="s">
        <v>6</v>
      </c>
      <c r="C6" s="6">
        <v>43</v>
      </c>
    </row>
    <row r="7" spans="1:3" x14ac:dyDescent="0.25">
      <c r="A7" s="9">
        <v>5</v>
      </c>
      <c r="B7" s="10" t="s">
        <v>7</v>
      </c>
      <c r="C7" s="15">
        <f t="shared" ref="C7" si="0">C6/(C6+C18)</f>
        <v>0.93478260869565222</v>
      </c>
    </row>
    <row r="8" spans="1:3" x14ac:dyDescent="0.25">
      <c r="A8" s="9">
        <v>6</v>
      </c>
      <c r="B8" s="10" t="s">
        <v>8</v>
      </c>
      <c r="C8" s="15">
        <f>C20/(C20+C19)</f>
        <v>0.99739130434782608</v>
      </c>
    </row>
    <row r="9" spans="1:3" x14ac:dyDescent="0.25">
      <c r="A9" s="9">
        <v>7</v>
      </c>
      <c r="B9" s="10" t="s">
        <v>9</v>
      </c>
      <c r="C9" s="15">
        <f t="shared" ref="C9" si="1">(C6+C20)/(C6+C20+C19+C18)</f>
        <v>0.99616368286445012</v>
      </c>
    </row>
    <row r="10" spans="1:3" x14ac:dyDescent="0.25">
      <c r="A10" s="9">
        <v>8</v>
      </c>
      <c r="B10" s="10" t="s">
        <v>10</v>
      </c>
      <c r="C10" s="15">
        <f>C6/C5</f>
        <v>0.87755102040816324</v>
      </c>
    </row>
    <row r="11" spans="1:3" x14ac:dyDescent="0.25">
      <c r="A11" s="9">
        <v>9</v>
      </c>
      <c r="B11" s="10" t="s">
        <v>11</v>
      </c>
      <c r="C11" s="15">
        <f>(C6/C5)*100</f>
        <v>87.755102040816325</v>
      </c>
    </row>
    <row r="12" spans="1:3" x14ac:dyDescent="0.25">
      <c r="A12" s="9">
        <v>10</v>
      </c>
      <c r="B12" s="10" t="s">
        <v>12</v>
      </c>
      <c r="C12" s="16">
        <f>(C6/C4)*100</f>
        <v>93.478260869565219</v>
      </c>
    </row>
    <row r="13" spans="1:3" x14ac:dyDescent="0.25">
      <c r="A13" s="9">
        <v>11</v>
      </c>
      <c r="B13" s="2" t="s">
        <v>13</v>
      </c>
      <c r="C13" s="8">
        <f t="shared" ref="C13" si="2">((C21*C10)+(C22*C7))*C8</f>
        <v>0.88953232899965284</v>
      </c>
    </row>
    <row r="14" spans="1:3" x14ac:dyDescent="0.25">
      <c r="A14" s="9">
        <v>12</v>
      </c>
      <c r="B14" s="10" t="s">
        <v>14</v>
      </c>
      <c r="C14" s="7">
        <v>51</v>
      </c>
    </row>
    <row r="15" spans="1:3" x14ac:dyDescent="0.25">
      <c r="A15" s="9">
        <v>13</v>
      </c>
      <c r="B15" s="10" t="s">
        <v>15</v>
      </c>
      <c r="C15" s="6">
        <v>18.739999999999998</v>
      </c>
    </row>
    <row r="16" spans="1:3" x14ac:dyDescent="0.25">
      <c r="A16" s="9">
        <v>14</v>
      </c>
      <c r="B16" s="10" t="s">
        <v>16</v>
      </c>
      <c r="C16" s="6">
        <v>9.33</v>
      </c>
    </row>
    <row r="17" spans="1:3" x14ac:dyDescent="0.25">
      <c r="A17" s="9">
        <v>15</v>
      </c>
      <c r="B17" s="2" t="s">
        <v>17</v>
      </c>
      <c r="C17" s="5">
        <v>0.96699999999999997</v>
      </c>
    </row>
    <row r="18" spans="1:3" x14ac:dyDescent="0.25">
      <c r="A18" s="9">
        <v>16</v>
      </c>
      <c r="B18" s="10" t="s">
        <v>18</v>
      </c>
      <c r="C18" s="14">
        <f>C4-C6</f>
        <v>3</v>
      </c>
    </row>
    <row r="19" spans="1:3" x14ac:dyDescent="0.25">
      <c r="A19" s="9">
        <v>17</v>
      </c>
      <c r="B19" s="10" t="s">
        <v>19</v>
      </c>
      <c r="C19" s="14">
        <f t="shared" ref="C19" si="3">C5-C6</f>
        <v>6</v>
      </c>
    </row>
    <row r="20" spans="1:3" x14ac:dyDescent="0.25">
      <c r="A20" s="9">
        <v>18</v>
      </c>
      <c r="B20" s="10" t="s">
        <v>20</v>
      </c>
      <c r="C20" s="14">
        <f t="shared" ref="C20" si="4">(C3-C4)-C19</f>
        <v>2294</v>
      </c>
    </row>
    <row r="21" spans="1:3" x14ac:dyDescent="0.25">
      <c r="A21" s="9">
        <v>19</v>
      </c>
      <c r="B21" s="13" t="s">
        <v>21</v>
      </c>
      <c r="C21" s="14">
        <f>3/4</f>
        <v>0.75</v>
      </c>
    </row>
    <row r="22" spans="1:3" x14ac:dyDescent="0.25">
      <c r="A22" s="9">
        <v>20</v>
      </c>
      <c r="B22" s="10" t="s">
        <v>22</v>
      </c>
      <c r="C22" s="14">
        <f>1/4</f>
        <v>0.25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Model-Opt</vt:lpstr>
      <vt:lpstr>External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Junaidin</cp:lastModifiedBy>
  <dcterms:created xsi:type="dcterms:W3CDTF">2023-08-03T04:35:22Z</dcterms:created>
  <dcterms:modified xsi:type="dcterms:W3CDTF">2026-01-10T13:44:24Z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2026-01-04T11:02:05Z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8cc00f6e-1525-4cdb-818a-f75e87d82783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